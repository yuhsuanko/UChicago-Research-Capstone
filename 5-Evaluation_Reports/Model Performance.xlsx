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<sst xmlns="http://schemas.openxmlformats.org/spreadsheetml/2006/main" count="23" uniqueCount="20">
  <si>
    <t>Model</t>
  </si>
  <si>
    <t>Confusion Matrix</t>
  </si>
  <si>
    <t>Discharge</t>
  </si>
  <si>
    <t>Admit</t>
  </si>
  <si>
    <t>Accuracy</t>
  </si>
  <si>
    <t>AUC</t>
  </si>
  <si>
    <t>Validation</t>
  </si>
  <si>
    <t>True Positive</t>
  </si>
  <si>
    <t>True Negative</t>
  </si>
  <si>
    <t>False Positive</t>
  </si>
  <si>
    <t>False Negative</t>
  </si>
  <si>
    <t>Precision</t>
  </si>
  <si>
    <t>Recall</t>
  </si>
  <si>
    <t>F1-Score</t>
  </si>
  <si>
    <t>Total Test Set</t>
  </si>
  <si>
    <t>ML: XGBoost Classifier</t>
  </si>
  <si>
    <t>OpenBioLLM-8B Sequence Classifier</t>
  </si>
  <si>
    <t>LangGraph Agent (No Reasoning)</t>
  </si>
  <si>
    <t>LangGraph Agent (Reasoning w/ T=0.35)</t>
  </si>
  <si>
    <t>LangGraph Agent (OpenBioLLM-8B Reasoning)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</si>
</sst>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Helvetica Neue"/>
    </font>
    <font>
      <sz val="12.0"/>
      <color theme="1"/>
      <name val="Helvetica Neue"/>
    </font>
    <font>
      <u/>
      <sz val="12.0"/>
      <color theme="1"/>
      <name val="Helvetica Neue"/>
    </font>
    <font>
      <u/>
      <sz val="12.0"/>
      <color theme="1"/>
      <name val="Helvetica Neue"/>
    </font>
    <font>
      <u/>
      <sz val="12.0"/>
      <color theme="1"/>
      <name val="Helvetica Neue"/>
    </font>
    <font>
      <b/>
      <u/>
      <sz val="12.0"/>
      <color theme="1"/>
      <name val="Helvetica Neue"/>
    </font>
    <font>
      <b/>
      <u/>
      <sz val="12.0"/>
      <color theme="1"/>
      <name val="Helvetica Neue"/>
    </font>
    <font>
      <b/>
      <u/>
      <sz val="12.0"/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Font="1"/>
    <xf borderId="0" fillId="3" fontId="2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5" fontId="1" numFmtId="0" xfId="0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3.5"/>
    <col customWidth="1" min="2" max="2" width="17.38"/>
    <col customWidth="1" min="3" max="4" width="14.13"/>
    <col customWidth="1" min="5" max="5" width="15.0"/>
    <col customWidth="1" min="6" max="6" width="10.63"/>
    <col customWidth="1" min="7" max="7" width="6.88"/>
    <col customWidth="1" min="8" max="8" width="9.63"/>
    <col customWidth="1" min="9" max="9" width="9.88"/>
    <col customWidth="1" min="10" max="10" width="6.88"/>
    <col customWidth="1" min="11" max="11" width="9.63"/>
    <col customWidth="1" min="12" max="12" width="10.0"/>
    <col customWidth="1" min="13" max="13" width="6.0"/>
    <col customWidth="1" min="14" max="14" width="15.75"/>
  </cols>
  <sheetData>
    <row r="1">
      <c r="A1" s="1" t="s">
        <v>0</v>
      </c>
      <c r="B1" s="2" t="s">
        <v>1</v>
      </c>
      <c r="F1" s="3" t="s">
        <v>2</v>
      </c>
      <c r="I1" s="4" t="s">
        <v>3</v>
      </c>
      <c r="L1" s="1" t="s">
        <v>4</v>
      </c>
      <c r="M1" s="1" t="s">
        <v>5</v>
      </c>
      <c r="N1" s="5" t="s">
        <v>6</v>
      </c>
    </row>
    <row r="2"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7" t="s">
        <v>12</v>
      </c>
      <c r="H2" s="7" t="s">
        <v>13</v>
      </c>
      <c r="I2" s="8" t="s">
        <v>11</v>
      </c>
      <c r="J2" s="8" t="s">
        <v>12</v>
      </c>
      <c r="K2" s="8" t="s">
        <v>13</v>
      </c>
      <c r="N2" s="9" t="s">
        <v>14</v>
      </c>
    </row>
    <row r="3">
      <c r="A3" s="10" t="s">
        <v>15</v>
      </c>
      <c r="B3" s="11">
        <v>29.0</v>
      </c>
      <c r="C3" s="11">
        <v>520.0</v>
      </c>
      <c r="D3" s="11">
        <v>54.0</v>
      </c>
      <c r="E3" s="11">
        <v>237.0</v>
      </c>
      <c r="F3" s="12">
        <v>0.69</v>
      </c>
      <c r="G3" s="13">
        <v>0.91</v>
      </c>
      <c r="H3" s="12">
        <v>0.78</v>
      </c>
      <c r="I3" s="14">
        <v>0.35</v>
      </c>
      <c r="J3" s="14">
        <v>0.11</v>
      </c>
      <c r="K3" s="14">
        <v>0.17</v>
      </c>
      <c r="L3" s="10">
        <v>0.65</v>
      </c>
      <c r="M3" s="10">
        <v>0.52</v>
      </c>
      <c r="N3" s="15">
        <f t="shared" ref="N3:N7" si="1">SUM(B3:E3)</f>
        <v>840</v>
      </c>
    </row>
    <row r="4">
      <c r="A4" s="10" t="s">
        <v>16</v>
      </c>
      <c r="B4" s="11">
        <v>81.0</v>
      </c>
      <c r="C4" s="11">
        <v>429.0</v>
      </c>
      <c r="D4" s="11">
        <v>155.0</v>
      </c>
      <c r="E4" s="11">
        <v>175.0</v>
      </c>
      <c r="F4" s="12">
        <v>0.71</v>
      </c>
      <c r="G4" s="12">
        <v>0.73</v>
      </c>
      <c r="H4" s="12">
        <v>0.72</v>
      </c>
      <c r="I4" s="14">
        <v>0.34</v>
      </c>
      <c r="J4" s="14">
        <v>0.32</v>
      </c>
      <c r="K4" s="14">
        <v>0.33</v>
      </c>
      <c r="L4" s="10">
        <v>0.61</v>
      </c>
      <c r="M4" s="10">
        <v>0.535</v>
      </c>
      <c r="N4" s="15">
        <f t="shared" si="1"/>
        <v>840</v>
      </c>
    </row>
    <row r="5">
      <c r="A5" s="10" t="s">
        <v>17</v>
      </c>
      <c r="B5" s="11">
        <v>134.0</v>
      </c>
      <c r="C5" s="11">
        <v>487.0</v>
      </c>
      <c r="D5" s="11">
        <v>97.0</v>
      </c>
      <c r="E5" s="11">
        <v>122.0</v>
      </c>
      <c r="F5" s="16">
        <v>0.8</v>
      </c>
      <c r="G5" s="12">
        <v>0.83</v>
      </c>
      <c r="H5" s="13">
        <v>0.82</v>
      </c>
      <c r="I5" s="17">
        <v>0.58</v>
      </c>
      <c r="J5" s="18">
        <v>0.52</v>
      </c>
      <c r="K5" s="17">
        <v>0.55</v>
      </c>
      <c r="L5" s="19">
        <v>0.74</v>
      </c>
      <c r="M5" s="20">
        <v>0.76</v>
      </c>
      <c r="N5" s="15">
        <f t="shared" si="1"/>
        <v>840</v>
      </c>
    </row>
    <row r="6">
      <c r="A6" s="21" t="s">
        <v>18</v>
      </c>
      <c r="B6" s="22">
        <v>165.0</v>
      </c>
      <c r="C6" s="23">
        <v>447.0</v>
      </c>
      <c r="D6" s="23">
        <v>137.0</v>
      </c>
      <c r="E6" s="23">
        <v>91.0</v>
      </c>
      <c r="F6" s="24">
        <v>0.83</v>
      </c>
      <c r="G6" s="25">
        <v>0.77</v>
      </c>
      <c r="H6" s="25">
        <v>0.8</v>
      </c>
      <c r="I6" s="26">
        <v>0.55</v>
      </c>
      <c r="J6" s="27">
        <v>0.64</v>
      </c>
      <c r="K6" s="26">
        <v>0.59</v>
      </c>
      <c r="L6" s="21">
        <v>0.73</v>
      </c>
      <c r="M6" s="28">
        <v>0.75</v>
      </c>
      <c r="N6" s="29">
        <f t="shared" si="1"/>
        <v>840</v>
      </c>
    </row>
    <row r="7">
      <c r="A7" s="10" t="s">
        <v>19</v>
      </c>
      <c r="B7" s="30">
        <v>217.0</v>
      </c>
      <c r="C7" s="11">
        <v>192.0</v>
      </c>
      <c r="D7" s="11">
        <v>392.0</v>
      </c>
      <c r="E7" s="11">
        <v>39.0</v>
      </c>
      <c r="F7" s="13">
        <v>0.83</v>
      </c>
      <c r="G7" s="12">
        <v>0.33</v>
      </c>
      <c r="H7" s="12">
        <v>0.47</v>
      </c>
      <c r="I7" s="14">
        <v>0.36</v>
      </c>
      <c r="J7" s="17">
        <v>0.85</v>
      </c>
      <c r="K7" s="14">
        <v>0.5</v>
      </c>
      <c r="L7" s="10">
        <v>0.49</v>
      </c>
      <c r="M7" s="19">
        <v>0.81</v>
      </c>
      <c r="N7" s="15">
        <f t="shared" si="1"/>
        <v>840</v>
      </c>
    </row>
  </sheetData>
  <mergeCells count="6">
    <mergeCell ref="A1:A2"/>
    <mergeCell ref="B1:E1"/>
    <mergeCell ref="F1:H1"/>
    <mergeCell ref="I1:K1"/>
    <mergeCell ref="L1:L2"/>
    <mergeCell ref="M1:M2"/>
  </mergeCells>
  <drawing r:id="rId1"/>
</worksheet>
</file>